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Ренат\Desktop\1 семестр\Ознакомительная практика\Работы\7\"/>
    </mc:Choice>
  </mc:AlternateContent>
  <xr:revisionPtr revIDLastSave="0" documentId="13_ncr:1_{9C7B3274-257E-44F2-9EB8-DAB7B17F426F}" xr6:coauthVersionLast="47" xr6:coauthVersionMax="47" xr10:uidLastSave="{00000000-0000-0000-0000-000000000000}"/>
  <bookViews>
    <workbookView xWindow="7200" yWindow="0" windowWidth="21600" windowHeight="11295" xr2:uid="{E216A742-FA37-490E-ADE2-3C81A24738EF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" l="1" a="1"/>
  <c r="E30" i="1" a="1"/>
  <c r="E31" i="1" a="1"/>
  <c r="E28" i="1" a="1"/>
  <c r="E27" i="1" a="1"/>
  <c r="D24" i="1" a="1"/>
  <c r="D23" i="1" a="1"/>
  <c r="D22" i="1" a="1"/>
  <c r="B17" i="1" a="1"/>
  <c r="B18" i="1" a="1"/>
  <c r="B19" i="1" a="1"/>
  <c r="B16" i="1" a="1"/>
  <c r="F9" i="1" a="1"/>
  <c r="F12" i="1" a="1"/>
  <c r="F13" i="1" a="1"/>
  <c r="F10" i="1" a="1"/>
  <c r="F11" i="1" a="1"/>
  <c r="F8" i="1" a="1"/>
  <c r="D2" i="1" a="1"/>
  <c r="D5" i="1" a="1"/>
  <c r="D4" i="1" a="1"/>
  <c r="D3" i="1" a="1"/>
  <c r="E28" i="1" l="1"/>
  <c r="E31" i="1"/>
  <c r="E30" i="1"/>
  <c r="E29" i="1"/>
  <c r="E27" i="1"/>
  <c r="D24" i="1"/>
  <c r="D23" i="1"/>
  <c r="D22" i="1"/>
  <c r="B19" i="1"/>
  <c r="B18" i="1"/>
  <c r="B17" i="1"/>
  <c r="B16" i="1"/>
  <c r="F11" i="1"/>
  <c r="F10" i="1"/>
  <c r="F13" i="1"/>
  <c r="F12" i="1"/>
  <c r="F9" i="1"/>
  <c r="F8" i="1"/>
  <c r="D2" i="1"/>
  <c r="D5" i="1"/>
  <c r="D4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<sst xmlns="http://schemas.openxmlformats.org/spreadsheetml/2006/main" count="34" uniqueCount="30">
  <si>
    <t>Менеджер</t>
  </si>
  <si>
    <t>Сумма сделки</t>
  </si>
  <si>
    <t>Вознаграждение</t>
  </si>
  <si>
    <t>Иванов</t>
  </si>
  <si>
    <t>Петров</t>
  </si>
  <si>
    <t>Смирнов</t>
  </si>
  <si>
    <t>Дата приема на работу</t>
  </si>
  <si>
    <t>Савельев</t>
  </si>
  <si>
    <t>Фамилия</t>
  </si>
  <si>
    <t>Экзамен 1</t>
  </si>
  <si>
    <t>Экзамен 2</t>
  </si>
  <si>
    <t>Экзамен 3</t>
  </si>
  <si>
    <t>Экзамен 4</t>
  </si>
  <si>
    <t>Поступление</t>
  </si>
  <si>
    <t>Данилов</t>
  </si>
  <si>
    <t>Логинов</t>
  </si>
  <si>
    <t>Сазонов</t>
  </si>
  <si>
    <t>Потребление</t>
  </si>
  <si>
    <t>Оплата</t>
  </si>
  <si>
    <t>Цена одной книги</t>
  </si>
  <si>
    <t>Количество</t>
  </si>
  <si>
    <t>Скидка</t>
  </si>
  <si>
    <t>Стоимость</t>
  </si>
  <si>
    <t>да</t>
  </si>
  <si>
    <t>нет</t>
  </si>
  <si>
    <t>Длина</t>
  </si>
  <si>
    <t>Ширина</t>
  </si>
  <si>
    <t>Высота</t>
  </si>
  <si>
    <t>Отверстие</t>
  </si>
  <si>
    <t>Пройдет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</si>
</sst>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/>
    <xf numFmtId="1" fontId="0" fillId="0" borderId="1" xfId="0" applyNumberFormat="1" applyBorder="1"/>
    <xf numFmtId="1" fontId="0" fillId="0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67EE-40B5-42C3-89D7-E7A9BC92BD19}">
  <sheetPr codeName="Лист1"/>
  <dimension ref="A1:F31"/>
  <sheetViews>
    <sheetView tabSelected="1" workbookViewId="0">
      <selection activeCell="F27" sqref="F27"/>
    </sheetView>
  </sheetViews>
  <sheetFormatPr defaultRowHeight="15" x14ac:dyDescent="0.25"/>
  <cols>
    <col min="1" max="1" width="17.7109375" bestFit="1" customWidth="1"/>
    <col min="2" max="2" width="14" bestFit="1" customWidth="1"/>
    <col min="3" max="3" width="22.42578125" bestFit="1" customWidth="1"/>
    <col min="4" max="4" width="16.42578125" bestFit="1" customWidth="1"/>
    <col min="5" max="5" width="10.140625" bestFit="1" customWidth="1"/>
    <col min="6" max="6" width="18.28515625" bestFit="1" customWidth="1"/>
  </cols>
  <sheetData>
    <row r="1" spans="1:6" x14ac:dyDescent="0.25">
      <c r="A1" s="1" t="s">
        <v>0</v>
      </c>
      <c r="B1" s="1" t="s">
        <v>1</v>
      </c>
      <c r="C1" s="1" t="s">
        <v>6</v>
      </c>
      <c r="D1" s="1" t="s">
        <v>2</v>
      </c>
    </row>
    <row r="2" spans="1:6" x14ac:dyDescent="0.25">
      <c r="A2" s="1" t="s">
        <v>3</v>
      </c>
      <c r="B2" s="1">
        <v>80000</v>
      </c>
      <c r="C2" s="3">
        <v>37367</v>
      </c>
      <c r="D2" s="1" cm="1">
        <f t="array" ref="D2">Вознаграждение(B2, C2)</f>
        <v>4000</v>
      </c>
    </row>
    <row r="3" spans="1:6" x14ac:dyDescent="0.25">
      <c r="A3" s="1" t="s">
        <v>4</v>
      </c>
      <c r="B3" s="1">
        <v>100000</v>
      </c>
      <c r="C3" s="3">
        <v>36636</v>
      </c>
      <c r="D3" s="1" cm="1">
        <f t="array" ref="D3">Вознаграждение(B3, C3)</f>
        <v>5000</v>
      </c>
    </row>
    <row r="4" spans="1:6" x14ac:dyDescent="0.25">
      <c r="A4" s="1" t="s">
        <v>5</v>
      </c>
      <c r="B4" s="1">
        <v>120000</v>
      </c>
      <c r="C4" s="3">
        <v>37396</v>
      </c>
      <c r="D4" s="1" cm="1">
        <f t="array" ref="D4">Вознаграждение(B4, C4)</f>
        <v>8400</v>
      </c>
    </row>
    <row r="5" spans="1:6" x14ac:dyDescent="0.25">
      <c r="A5" s="2" t="s">
        <v>7</v>
      </c>
      <c r="B5" s="1">
        <v>203000</v>
      </c>
      <c r="C5" s="3">
        <v>37703</v>
      </c>
      <c r="D5" s="1" cm="1">
        <f t="array" ref="D5">Вознаграждение(B5, C5)</f>
        <v>16240</v>
      </c>
    </row>
    <row r="7" spans="1:6" x14ac:dyDescent="0.25">
      <c r="A7" s="1" t="s">
        <v>8</v>
      </c>
      <c r="B7" s="1" t="s">
        <v>9</v>
      </c>
      <c r="C7" s="1" t="s">
        <v>10</v>
      </c>
      <c r="D7" s="1" t="s">
        <v>11</v>
      </c>
      <c r="E7" s="1" t="s">
        <v>12</v>
      </c>
      <c r="F7" s="1" t="s">
        <v>13</v>
      </c>
    </row>
    <row r="8" spans="1:6" x14ac:dyDescent="0.25">
      <c r="A8" s="1" t="s">
        <v>14</v>
      </c>
      <c r="B8" s="4">
        <v>20</v>
      </c>
      <c r="C8" s="5">
        <v>15</v>
      </c>
      <c r="D8" s="4">
        <v>22</v>
      </c>
      <c r="E8" s="4">
        <v>24</v>
      </c>
      <c r="F8" s="4" t="str" cm="1">
        <f t="array" ref="F8">Поступление(B8,C8,D8,E8)</f>
        <v>Поступил</v>
      </c>
    </row>
    <row r="9" spans="1:6" x14ac:dyDescent="0.25">
      <c r="A9" s="1" t="s">
        <v>3</v>
      </c>
      <c r="B9" s="4">
        <v>25</v>
      </c>
      <c r="C9" s="5">
        <v>20</v>
      </c>
      <c r="D9" s="4">
        <v>10</v>
      </c>
      <c r="E9" s="4">
        <v>13</v>
      </c>
      <c r="F9" s="4" t="str" cm="1">
        <f t="array" ref="F9">Поступление(B9,C9,D9,E9)</f>
        <v>Не поступил</v>
      </c>
    </row>
    <row r="10" spans="1:6" x14ac:dyDescent="0.25">
      <c r="A10" s="1" t="s">
        <v>15</v>
      </c>
      <c r="B10" s="4">
        <v>9</v>
      </c>
      <c r="C10" s="4">
        <v>12</v>
      </c>
      <c r="D10" s="4">
        <v>20</v>
      </c>
      <c r="E10" s="4">
        <v>23</v>
      </c>
      <c r="F10" s="4" t="str" cm="1">
        <f t="array" ref="F10">Поступление(B10,C10,D10,E10)</f>
        <v>Провалил экзамен</v>
      </c>
    </row>
    <row r="11" spans="1:6" x14ac:dyDescent="0.25">
      <c r="A11" s="1" t="s">
        <v>4</v>
      </c>
      <c r="B11" s="4">
        <v>22</v>
      </c>
      <c r="C11" s="4">
        <v>20</v>
      </c>
      <c r="D11" s="4">
        <v>24</v>
      </c>
      <c r="E11" s="4">
        <v>20</v>
      </c>
      <c r="F11" s="4" t="str" cm="1">
        <f t="array" ref="F11">Поступление(B11,C11,D11,E11)</f>
        <v>Поступил</v>
      </c>
    </row>
    <row r="12" spans="1:6" x14ac:dyDescent="0.25">
      <c r="A12" s="1" t="s">
        <v>16</v>
      </c>
      <c r="B12" s="4">
        <v>24</v>
      </c>
      <c r="C12" s="4">
        <v>23</v>
      </c>
      <c r="D12" s="4">
        <v>8</v>
      </c>
      <c r="E12" s="4">
        <v>25</v>
      </c>
      <c r="F12" s="4" t="str" cm="1">
        <f t="array" ref="F12">Поступление(B12,C12,D12,E12)</f>
        <v>Провалил экзамен</v>
      </c>
    </row>
    <row r="13" spans="1:6" x14ac:dyDescent="0.25">
      <c r="A13" s="1" t="s">
        <v>5</v>
      </c>
      <c r="B13" s="4">
        <v>12</v>
      </c>
      <c r="C13" s="4">
        <v>15</v>
      </c>
      <c r="D13" s="4">
        <v>16</v>
      </c>
      <c r="E13" s="4">
        <v>10</v>
      </c>
      <c r="F13" s="4" t="str" cm="1">
        <f t="array" ref="F13">Поступление(B13,C13,D13,E13)</f>
        <v>Не поступил</v>
      </c>
    </row>
    <row r="15" spans="1:6" x14ac:dyDescent="0.25">
      <c r="A15" s="1" t="s">
        <v>17</v>
      </c>
      <c r="B15" s="1" t="s">
        <v>18</v>
      </c>
    </row>
    <row r="16" spans="1:6" x14ac:dyDescent="0.25">
      <c r="A16" s="1">
        <v>500</v>
      </c>
      <c r="B16" s="1" cm="1">
        <f t="array" ref="B16">Электроэнергия(A16)</f>
        <v>450</v>
      </c>
    </row>
    <row r="17" spans="1:5" x14ac:dyDescent="0.25">
      <c r="A17" s="1">
        <v>200</v>
      </c>
      <c r="B17" s="1" cm="1">
        <f t="array" ref="B17">Электроэнергия(A17)</f>
        <v>180</v>
      </c>
    </row>
    <row r="18" spans="1:5" x14ac:dyDescent="0.25">
      <c r="A18" s="1">
        <v>1200</v>
      </c>
      <c r="B18" s="1" cm="1">
        <f t="array" ref="B18">Электроэнергия(A18)</f>
        <v>480</v>
      </c>
    </row>
    <row r="19" spans="1:5" x14ac:dyDescent="0.25">
      <c r="A19" s="1">
        <v>700</v>
      </c>
      <c r="B19" s="1" cm="1">
        <f t="array" ref="B19">Электроэнергия(A19)</f>
        <v>364</v>
      </c>
    </row>
    <row r="21" spans="1:5" x14ac:dyDescent="0.25">
      <c r="A21" s="1" t="s">
        <v>19</v>
      </c>
      <c r="B21" s="1" t="s">
        <v>20</v>
      </c>
      <c r="C21" s="1" t="s">
        <v>21</v>
      </c>
      <c r="D21" s="1" t="s">
        <v>22</v>
      </c>
    </row>
    <row r="22" spans="1:5" x14ac:dyDescent="0.25">
      <c r="A22" s="1">
        <v>120</v>
      </c>
      <c r="B22" s="1">
        <v>100</v>
      </c>
      <c r="C22" s="1" t="s">
        <v>23</v>
      </c>
      <c r="D22" s="1" cm="1">
        <f t="array" ref="D22">Стоимость(A22,B22,C22)</f>
        <v>10560</v>
      </c>
    </row>
    <row r="23" spans="1:5" x14ac:dyDescent="0.25">
      <c r="A23" s="1">
        <v>125</v>
      </c>
      <c r="B23" s="1">
        <v>300</v>
      </c>
      <c r="C23" s="1" t="s">
        <v>24</v>
      </c>
      <c r="D23" s="1" cm="1">
        <f t="array" ref="D23">Стоимость(A23,B23,C23)</f>
        <v>33750</v>
      </c>
    </row>
    <row r="24" spans="1:5" x14ac:dyDescent="0.25">
      <c r="A24" s="1">
        <v>200</v>
      </c>
      <c r="B24" s="1">
        <v>320</v>
      </c>
      <c r="C24" s="1" t="s">
        <v>23</v>
      </c>
      <c r="D24" s="1" cm="1">
        <f t="array" ref="D24">Стоимость(A24,B24,C24)</f>
        <v>51200</v>
      </c>
    </row>
    <row r="26" spans="1:5" x14ac:dyDescent="0.25">
      <c r="A26" s="1" t="s">
        <v>25</v>
      </c>
      <c r="B26" s="1" t="s">
        <v>26</v>
      </c>
      <c r="C26" s="1" t="s">
        <v>27</v>
      </c>
      <c r="D26" s="1" t="s">
        <v>28</v>
      </c>
      <c r="E26" s="1" t="s">
        <v>29</v>
      </c>
    </row>
    <row r="27" spans="1:5" x14ac:dyDescent="0.25">
      <c r="A27" s="1">
        <v>4</v>
      </c>
      <c r="B27" s="1">
        <v>3</v>
      </c>
      <c r="C27" s="1">
        <v>10</v>
      </c>
      <c r="D27" s="1">
        <v>5</v>
      </c>
      <c r="E27" s="1" t="b" cm="1">
        <f t="array" ref="E27">Кирпич(A27,B27,C27,D27)</f>
        <v>1</v>
      </c>
    </row>
    <row r="28" spans="1:5" x14ac:dyDescent="0.25">
      <c r="A28" s="1">
        <v>20</v>
      </c>
      <c r="B28" s="1">
        <v>10</v>
      </c>
      <c r="C28" s="1">
        <v>6</v>
      </c>
      <c r="D28" s="1">
        <v>6</v>
      </c>
      <c r="E28" s="1" t="b" cm="1">
        <f t="array" ref="E28">Кирпич(A28,B28,C28,D28)</f>
        <v>0</v>
      </c>
    </row>
    <row r="29" spans="1:5" x14ac:dyDescent="0.25">
      <c r="A29" s="1">
        <v>5</v>
      </c>
      <c r="B29" s="1">
        <v>12</v>
      </c>
      <c r="C29" s="1">
        <v>4</v>
      </c>
      <c r="D29" s="1">
        <v>5</v>
      </c>
      <c r="E29" s="1" t="b" cm="1">
        <f t="array" ref="E29">Кирпич(A29,B29,C29,D29)</f>
        <v>1</v>
      </c>
    </row>
    <row r="30" spans="1:5" x14ac:dyDescent="0.25">
      <c r="A30" s="1">
        <v>8</v>
      </c>
      <c r="B30" s="1">
        <v>4</v>
      </c>
      <c r="C30" s="1">
        <v>3</v>
      </c>
      <c r="D30" s="1">
        <v>5</v>
      </c>
      <c r="E30" s="1" t="b" cm="1">
        <f t="array" ref="E30">Кирпич(A30,B30,C30,D30)</f>
        <v>1</v>
      </c>
    </row>
    <row r="31" spans="1:5" x14ac:dyDescent="0.25">
      <c r="A31" s="1">
        <v>3</v>
      </c>
      <c r="B31" s="1">
        <v>2</v>
      </c>
      <c r="C31" s="1">
        <v>4</v>
      </c>
      <c r="D31" s="1">
        <v>4</v>
      </c>
      <c r="E31" s="1" t="b" cm="1">
        <f t="array" ref="E31">Кирпич(A31,B31,C31,D31)</f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</dc:creator>
  <cp:lastModifiedBy>Ренат</cp:lastModifiedBy>
  <dcterms:created xsi:type="dcterms:W3CDTF">2023-11-26T10:40:58Z</dcterms:created>
  <dcterms:modified xsi:type="dcterms:W3CDTF">2023-11-26T11:46:16Z</dcterms:modified>
</cp:coreProperties>
</file>