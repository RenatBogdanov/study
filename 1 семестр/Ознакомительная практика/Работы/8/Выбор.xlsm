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Ренат\Desktop\1 семестр\Ознакомительная практика\Работы\8\"/>
    </mc:Choice>
  </mc:AlternateContent>
  <xr:revisionPtr revIDLastSave="0" documentId="13_ncr:1_{1DCB3CA7-F54B-43D4-9997-50D0A44809DF}" xr6:coauthVersionLast="47" xr6:coauthVersionMax="47" xr10:uidLastSave="{00000000-0000-0000-0000-000000000000}"/>
  <bookViews>
    <workbookView xWindow="7200" yWindow="0" windowWidth="21600" windowHeight="11295" xr2:uid="{3D35164B-7505-405A-9630-593686690A2D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1" l="1" a="1"/>
  <c r="D26" i="1" a="1"/>
  <c r="G26" i="1" a="1"/>
  <c r="F26" i="1" a="1"/>
  <c r="E26" i="1" a="1"/>
  <c r="B26" i="1" a="1"/>
  <c r="B20" i="1" a="1"/>
  <c r="C20" i="1" a="1"/>
  <c r="D20" i="1" a="1"/>
  <c r="E20" i="1" a="1"/>
  <c r="F20" i="1" a="1"/>
  <c r="G20" i="1" a="1"/>
  <c r="H20" i="1" a="1"/>
  <c r="C14" i="1" a="1"/>
  <c r="I14" i="1" a="1"/>
  <c r="D14" i="1" a="1"/>
  <c r="J14" i="1" a="1"/>
  <c r="K14" i="1" a="1"/>
  <c r="E14" i="1" a="1"/>
  <c r="F14" i="1" a="1"/>
  <c r="L14" i="1" a="1"/>
  <c r="G14" i="1" a="1"/>
  <c r="M14" i="1" a="1"/>
  <c r="H14" i="1" a="1"/>
  <c r="B14" i="1" a="1"/>
  <c r="C11" i="1" a="1"/>
  <c r="I11" i="1" a="1"/>
  <c r="O11" i="1" a="1"/>
  <c r="J11" i="1" a="1"/>
  <c r="F11" i="1" a="1"/>
  <c r="G11" i="1" a="1"/>
  <c r="H11" i="1" a="1"/>
  <c r="D11" i="1" a="1"/>
  <c r="E11" i="1" a="1"/>
  <c r="K11" i="1" a="1"/>
  <c r="L11" i="1" a="1"/>
  <c r="M11" i="1" a="1"/>
  <c r="N11" i="1" a="1"/>
  <c r="B11" i="1" a="1"/>
  <c r="C8" i="1" a="1"/>
  <c r="I8" i="1" a="1"/>
  <c r="O8" i="1" a="1"/>
  <c r="D8" i="1" a="1"/>
  <c r="J8" i="1" a="1"/>
  <c r="E8" i="1" a="1"/>
  <c r="K8" i="1" a="1"/>
  <c r="F8" i="1" a="1"/>
  <c r="L8" i="1" a="1"/>
  <c r="G8" i="1" a="1"/>
  <c r="M8" i="1" a="1"/>
  <c r="H8" i="1" a="1"/>
  <c r="N8" i="1" a="1"/>
  <c r="B8" i="1" a="1"/>
  <c r="C5" i="1" a="1"/>
  <c r="D5" i="1" a="1"/>
  <c r="J5" i="1" a="1"/>
  <c r="F5" i="1" a="1"/>
  <c r="G5" i="1" a="1"/>
  <c r="I5" i="1" a="1"/>
  <c r="E5" i="1" a="1"/>
  <c r="H5" i="1" a="1"/>
  <c r="B5" i="1" a="1"/>
  <c r="E2" i="1" a="1"/>
  <c r="F2" i="1" a="1"/>
  <c r="G2" i="1" a="1"/>
  <c r="H2" i="1" a="1"/>
  <c r="C2" i="1" a="1"/>
  <c r="I2" i="1" a="1"/>
  <c r="D2" i="1" a="1"/>
  <c r="J2" i="1" a="1"/>
  <c r="B2" i="1" a="1"/>
  <c r="E26" i="1" l="1"/>
  <c r="F26" i="1"/>
  <c r="G26" i="1"/>
  <c r="D26" i="1"/>
  <c r="C26" i="1"/>
  <c r="B26" i="1"/>
  <c r="B20" i="1"/>
  <c r="C20" i="1"/>
  <c r="D20" i="1"/>
  <c r="E20" i="1"/>
  <c r="F20" i="1"/>
  <c r="G20" i="1"/>
  <c r="H20" i="1"/>
  <c r="H14" i="1"/>
  <c r="M14" i="1"/>
  <c r="G14" i="1"/>
  <c r="L14" i="1"/>
  <c r="F14" i="1"/>
  <c r="E14" i="1"/>
  <c r="K14" i="1"/>
  <c r="J14" i="1"/>
  <c r="D14" i="1"/>
  <c r="I14" i="1"/>
  <c r="C14" i="1"/>
  <c r="B14" i="1"/>
  <c r="N11" i="1"/>
  <c r="M11" i="1"/>
  <c r="L11" i="1"/>
  <c r="K11" i="1"/>
  <c r="E11" i="1"/>
  <c r="D11" i="1"/>
  <c r="H11" i="1"/>
  <c r="G11" i="1"/>
  <c r="F11" i="1"/>
  <c r="J11" i="1"/>
  <c r="O11" i="1"/>
  <c r="I11" i="1"/>
  <c r="C11" i="1"/>
  <c r="B11" i="1"/>
  <c r="N8" i="1"/>
  <c r="H8" i="1"/>
  <c r="M8" i="1"/>
  <c r="G8" i="1"/>
  <c r="L8" i="1"/>
  <c r="F8" i="1"/>
  <c r="K8" i="1"/>
  <c r="E8" i="1"/>
  <c r="J8" i="1"/>
  <c r="D8" i="1"/>
  <c r="O8" i="1"/>
  <c r="I8" i="1"/>
  <c r="C8" i="1"/>
  <c r="B8" i="1"/>
  <c r="H5" i="1"/>
  <c r="E5" i="1"/>
  <c r="I5" i="1"/>
  <c r="G5" i="1"/>
  <c r="F5" i="1"/>
  <c r="J5" i="1"/>
  <c r="D5" i="1"/>
  <c r="C5" i="1"/>
  <c r="B5" i="1"/>
  <c r="J2" i="1"/>
  <c r="D2" i="1"/>
  <c r="I2" i="1"/>
  <c r="C2" i="1"/>
  <c r="H2" i="1"/>
  <c r="G2" i="1"/>
  <c r="F2" i="1"/>
  <c r="E2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<sst xmlns="http://schemas.openxmlformats.org/spreadsheetml/2006/main" count="25" uniqueCount="21">
  <si>
    <t>Число</t>
  </si>
  <si>
    <t>Знак числа</t>
  </si>
  <si>
    <t>Номер дня недели</t>
  </si>
  <si>
    <t>Название</t>
  </si>
  <si>
    <t>Номер месяца</t>
  </si>
  <si>
    <t>Количество дней</t>
  </si>
  <si>
    <t>Сезон</t>
  </si>
  <si>
    <t>Возраст</t>
  </si>
  <si>
    <t>В годах</t>
  </si>
  <si>
    <t>Значение</t>
  </si>
  <si>
    <t>Менеджер</t>
  </si>
  <si>
    <t>Выручка</t>
  </si>
  <si>
    <t>Процент менеджера</t>
  </si>
  <si>
    <t>Иванов</t>
  </si>
  <si>
    <t>Петров</t>
  </si>
  <si>
    <t>Сидоров</t>
  </si>
  <si>
    <t>Васильев</t>
  </si>
  <si>
    <t>Общая сумма</t>
  </si>
  <si>
    <t>Сумма первого взноса</t>
  </si>
  <si>
    <t>Количество месяцев, на которые берется кредит</t>
  </si>
  <si>
    <t>Сумма текущего взноса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</si>
</sst>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FFFF"/>
      <name val="Calibri"/>
      <family val="2"/>
      <charset val="204"/>
      <scheme val="minor"/>
    </font>
    <font>
      <sz val="11"/>
      <color rgb="FF00FF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3" fillId="0" borderId="1" xfId="0" applyFont="1" applyBorder="1"/>
    <xf numFmtId="0" fontId="2" fillId="0" borderId="1" xfId="0" applyFont="1" applyBorder="1"/>
    <xf numFmtId="0" fontId="1" fillId="0" borderId="1" xfId="0" applyFont="1" applyBorder="1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A5537-6BEB-45CC-9C52-D5FBC1D51CA1}">
  <sheetPr codeName="Лист1"/>
  <dimension ref="A1:O26"/>
  <sheetViews>
    <sheetView tabSelected="1" workbookViewId="0">
      <selection activeCell="B27" sqref="B27"/>
    </sheetView>
  </sheetViews>
  <sheetFormatPr defaultRowHeight="15" x14ac:dyDescent="0.25"/>
  <cols>
    <col min="1" max="1" width="21.7109375" bestFit="1" customWidth="1"/>
    <col min="2" max="2" width="20.5703125" bestFit="1" customWidth="1"/>
    <col min="3" max="5" width="15.7109375" bestFit="1" customWidth="1"/>
    <col min="6" max="6" width="8.7109375" bestFit="1" customWidth="1"/>
    <col min="7" max="7" width="16.28515625" bestFit="1" customWidth="1"/>
    <col min="8" max="8" width="18.7109375" bestFit="1" customWidth="1"/>
    <col min="9" max="9" width="16.28515625" bestFit="1" customWidth="1"/>
    <col min="10" max="10" width="19.28515625" bestFit="1" customWidth="1"/>
    <col min="15" max="15" width="20.5703125" bestFit="1" customWidth="1"/>
  </cols>
  <sheetData>
    <row r="1" spans="1:15" x14ac:dyDescent="0.25">
      <c r="A1" s="1" t="s">
        <v>0</v>
      </c>
      <c r="B1" s="1">
        <v>-2</v>
      </c>
      <c r="C1" s="1">
        <v>-1.5</v>
      </c>
      <c r="D1" s="1">
        <v>-1</v>
      </c>
      <c r="E1" s="1">
        <v>-0.5</v>
      </c>
      <c r="F1" s="1">
        <v>0</v>
      </c>
      <c r="G1" s="1">
        <v>0.5</v>
      </c>
      <c r="H1" s="1">
        <v>1</v>
      </c>
      <c r="I1" s="1">
        <v>1.5</v>
      </c>
      <c r="J1" s="1">
        <v>2</v>
      </c>
    </row>
    <row r="2" spans="1:15" x14ac:dyDescent="0.25">
      <c r="A2" s="1" t="s">
        <v>1</v>
      </c>
      <c r="B2" s="1" t="str" cm="1">
        <f t="array" ref="B2">Знак_числа(B1)</f>
        <v>Отрицательный</v>
      </c>
      <c r="C2" s="1" t="str" cm="1">
        <f t="array" ref="C2">Знак_числа(C1)</f>
        <v>Отрицательный</v>
      </c>
      <c r="D2" s="1" t="str" cm="1">
        <f t="array" ref="D2">Знак_числа(D1)</f>
        <v>Отрицательный</v>
      </c>
      <c r="E2" s="1" t="str" cm="1">
        <f t="array" ref="E2">Знак_числа(E1)</f>
        <v>Отрицательный</v>
      </c>
      <c r="F2" s="1" t="str" cm="1">
        <f t="array" ref="F2">Знак_числа(F1)</f>
        <v>Ноль</v>
      </c>
      <c r="G2" s="1" t="str" cm="1">
        <f t="array" ref="G2">Знак_числа(G1)</f>
        <v>Положительный</v>
      </c>
      <c r="H2" s="1" t="str" cm="1">
        <f t="array" ref="H2">Знак_числа(H1)</f>
        <v>Положительный</v>
      </c>
      <c r="I2" s="1" t="str" cm="1">
        <f t="array" ref="I2">Знак_числа(I1)</f>
        <v>Положительный</v>
      </c>
      <c r="J2" s="1" t="str" cm="1">
        <f t="array" ref="J2">Знак_числа(J1)</f>
        <v>Положительный</v>
      </c>
    </row>
    <row r="4" spans="1:15" x14ac:dyDescent="0.25">
      <c r="A4" s="1" t="s">
        <v>2</v>
      </c>
      <c r="B4" s="1">
        <v>0</v>
      </c>
      <c r="C4" s="1">
        <v>1</v>
      </c>
      <c r="D4" s="1">
        <v>2</v>
      </c>
      <c r="E4" s="1">
        <v>3</v>
      </c>
      <c r="F4" s="1">
        <v>4</v>
      </c>
      <c r="G4" s="1">
        <v>5</v>
      </c>
      <c r="H4" s="1">
        <v>6</v>
      </c>
      <c r="I4" s="1">
        <v>7</v>
      </c>
      <c r="J4" s="1">
        <v>8</v>
      </c>
    </row>
    <row r="5" spans="1:15" x14ac:dyDescent="0.25">
      <c r="A5" s="1" t="s">
        <v>3</v>
      </c>
      <c r="B5" s="1" t="str" cm="1">
        <f t="array" ref="B5">Рабочий_день(B4)</f>
        <v>Это не день недели</v>
      </c>
      <c r="C5" s="1" t="str" cm="1">
        <f t="array" ref="C5">Рабочий_день(C4)</f>
        <v>Рабочий</v>
      </c>
      <c r="D5" s="1" t="str" cm="1">
        <f t="array" ref="D5">Рабочий_день(D4)</f>
        <v>Рабочий</v>
      </c>
      <c r="E5" s="1" t="str" cm="1">
        <f t="array" ref="E5">Рабочий_день(E4)</f>
        <v>Рабочий</v>
      </c>
      <c r="F5" s="1" t="str" cm="1">
        <f t="array" ref="F5">Рабочий_день(F4)</f>
        <v>Рабочий</v>
      </c>
      <c r="G5" s="1" t="str" cm="1">
        <f t="array" ref="G5">Рабочий_день(G4)</f>
        <v>Рабочий</v>
      </c>
      <c r="H5" s="1" t="str" cm="1">
        <f t="array" ref="H5">Рабочий_день(H4)</f>
        <v>Выходной</v>
      </c>
      <c r="I5" s="1" t="str" cm="1">
        <f t="array" ref="I5">Рабочий_день(I4)</f>
        <v>Выходной</v>
      </c>
      <c r="J5" s="1" t="str" cm="1">
        <f t="array" ref="J5">Рабочий_день(J4)</f>
        <v>Это не день недели</v>
      </c>
    </row>
    <row r="7" spans="1:15" x14ac:dyDescent="0.25">
      <c r="A7" s="1" t="s">
        <v>4</v>
      </c>
      <c r="B7" s="1">
        <v>-1</v>
      </c>
      <c r="C7" s="1">
        <v>1</v>
      </c>
      <c r="D7" s="1">
        <v>2</v>
      </c>
      <c r="E7" s="1">
        <v>3</v>
      </c>
      <c r="F7" s="1">
        <v>4</v>
      </c>
      <c r="G7" s="1">
        <v>5</v>
      </c>
      <c r="H7" s="1">
        <v>6</v>
      </c>
      <c r="I7" s="1">
        <v>7</v>
      </c>
      <c r="J7" s="1">
        <v>8</v>
      </c>
      <c r="K7" s="1">
        <v>9</v>
      </c>
      <c r="L7" s="1">
        <v>10</v>
      </c>
      <c r="M7" s="1">
        <v>11</v>
      </c>
      <c r="N7" s="1">
        <v>12</v>
      </c>
      <c r="O7" s="1">
        <v>13</v>
      </c>
    </row>
    <row r="8" spans="1:15" x14ac:dyDescent="0.25">
      <c r="A8" s="1" t="s">
        <v>5</v>
      </c>
      <c r="B8" s="1" t="str" cm="1">
        <f t="array" ref="B8">Количество_дней(B7)</f>
        <v>Это не номер месяца</v>
      </c>
      <c r="C8" s="1" cm="1">
        <f t="array" ref="C8">Количество_дней(C7)</f>
        <v>31</v>
      </c>
      <c r="D8" s="1" t="str" cm="1">
        <f t="array" ref="D8">Количество_дней(D7)</f>
        <v>28 или 29</v>
      </c>
      <c r="E8" s="1" cm="1">
        <f t="array" ref="E8">Количество_дней(E7)</f>
        <v>31</v>
      </c>
      <c r="F8" s="1" cm="1">
        <f t="array" ref="F8">Количество_дней(F7)</f>
        <v>30</v>
      </c>
      <c r="G8" s="1" cm="1">
        <f t="array" ref="G8">Количество_дней(G7)</f>
        <v>31</v>
      </c>
      <c r="H8" s="1" cm="1">
        <f t="array" ref="H8">Количество_дней(H7)</f>
        <v>30</v>
      </c>
      <c r="I8" s="1" cm="1">
        <f t="array" ref="I8">Количество_дней(I7)</f>
        <v>31</v>
      </c>
      <c r="J8" s="1" cm="1">
        <f t="array" ref="J8">Количество_дней(J7)</f>
        <v>31</v>
      </c>
      <c r="K8" s="1" cm="1">
        <f t="array" ref="K8">Количество_дней(K7)</f>
        <v>30</v>
      </c>
      <c r="L8" s="1" cm="1">
        <f t="array" ref="L8">Количество_дней(L7)</f>
        <v>31</v>
      </c>
      <c r="M8" s="1" cm="1">
        <f t="array" ref="M8">Количество_дней(M7)</f>
        <v>30</v>
      </c>
      <c r="N8" s="1" cm="1">
        <f t="array" ref="N8">Количество_дней(N7)</f>
        <v>31</v>
      </c>
      <c r="O8" s="1" t="str" cm="1">
        <f t="array" ref="O8">Количество_дней(O7)</f>
        <v>Это не номер месяца</v>
      </c>
    </row>
    <row r="10" spans="1:15" x14ac:dyDescent="0.25">
      <c r="A10" s="1" t="s">
        <v>4</v>
      </c>
      <c r="B10" s="1">
        <v>0</v>
      </c>
      <c r="C10" s="1">
        <v>1</v>
      </c>
      <c r="D10" s="1">
        <v>2</v>
      </c>
      <c r="E10" s="1">
        <v>3</v>
      </c>
      <c r="F10" s="1">
        <v>4</v>
      </c>
      <c r="G10" s="1">
        <v>5</v>
      </c>
      <c r="H10" s="1">
        <v>6</v>
      </c>
      <c r="I10" s="1">
        <v>7</v>
      </c>
      <c r="J10" s="1">
        <v>8</v>
      </c>
      <c r="K10" s="1">
        <v>9</v>
      </c>
      <c r="L10" s="1">
        <v>10</v>
      </c>
      <c r="M10" s="1">
        <v>11</v>
      </c>
      <c r="N10" s="1">
        <v>12</v>
      </c>
      <c r="O10" s="1">
        <v>13</v>
      </c>
    </row>
    <row r="11" spans="1:15" x14ac:dyDescent="0.25">
      <c r="A11" s="1" t="s">
        <v>6</v>
      </c>
      <c r="B11" s="1" t="str" cm="1">
        <f t="array" ref="B11">Сезон(B10)</f>
        <v>Это не номер месяца</v>
      </c>
      <c r="C11" s="1" t="str" cm="1">
        <f t="array" ref="C11">Сезон(C10)</f>
        <v>Зима</v>
      </c>
      <c r="D11" s="1" t="str" cm="1">
        <f t="array" ref="D11">Сезон(D10)</f>
        <v>Зима</v>
      </c>
      <c r="E11" s="1" t="str" cm="1">
        <f t="array" ref="E11">Сезон(E10)</f>
        <v>Весна</v>
      </c>
      <c r="F11" s="1" t="str" cm="1">
        <f t="array" ref="F11">Сезон(F10)</f>
        <v>Весна</v>
      </c>
      <c r="G11" s="1" t="str" cm="1">
        <f t="array" ref="G11">Сезон(G10)</f>
        <v>Весна</v>
      </c>
      <c r="H11" s="1" t="str" cm="1">
        <f t="array" ref="H11">Сезон(H10)</f>
        <v>Лето</v>
      </c>
      <c r="I11" s="1" t="str" cm="1">
        <f t="array" ref="I11">Сезон(I10)</f>
        <v>Лето</v>
      </c>
      <c r="J11" s="1" t="str" cm="1">
        <f t="array" ref="J11">Сезон(J10)</f>
        <v>Лето</v>
      </c>
      <c r="K11" s="1" t="str" cm="1">
        <f t="array" ref="K11">Сезон(K10)</f>
        <v>Осень</v>
      </c>
      <c r="L11" s="1" t="str" cm="1">
        <f t="array" ref="L11">Сезон(L10)</f>
        <v>Осень</v>
      </c>
      <c r="M11" s="1" t="str" cm="1">
        <f t="array" ref="M11">Сезон(M10)</f>
        <v>Осень</v>
      </c>
      <c r="N11" s="1" t="str" cm="1">
        <f t="array" ref="N11">Сезон(N10)</f>
        <v>Зима</v>
      </c>
      <c r="O11" s="1" t="str" cm="1">
        <f t="array" ref="O11">Сезон(O10)</f>
        <v>Это не номер месяца</v>
      </c>
    </row>
    <row r="13" spans="1:15" x14ac:dyDescent="0.25">
      <c r="A13" s="1" t="s">
        <v>7</v>
      </c>
      <c r="B13" s="1">
        <v>11</v>
      </c>
      <c r="C13" s="1">
        <v>12</v>
      </c>
      <c r="D13" s="1">
        <v>13</v>
      </c>
      <c r="E13" s="1">
        <v>14</v>
      </c>
      <c r="F13" s="1">
        <v>15</v>
      </c>
      <c r="G13" s="1">
        <v>16</v>
      </c>
      <c r="H13" s="1">
        <v>17</v>
      </c>
      <c r="I13" s="1">
        <v>18</v>
      </c>
      <c r="J13" s="1">
        <v>19</v>
      </c>
      <c r="K13" s="1">
        <v>20</v>
      </c>
      <c r="L13" s="1">
        <v>21</v>
      </c>
      <c r="M13" s="1">
        <v>22</v>
      </c>
    </row>
    <row r="14" spans="1:15" x14ac:dyDescent="0.25">
      <c r="A14" s="1" t="s">
        <v>8</v>
      </c>
      <c r="B14" s="1" t="str" cm="1">
        <f t="array" ref="B14">Возраст_человека(B13)</f>
        <v xml:space="preserve"> 11 лет</v>
      </c>
      <c r="C14" s="1" t="str" cm="1">
        <f t="array" ref="C14">Возраст_человека(C13)</f>
        <v xml:space="preserve"> 12 лет</v>
      </c>
      <c r="D14" s="1" t="str" cm="1">
        <f t="array" ref="D14">Возраст_человека(D13)</f>
        <v xml:space="preserve"> 13 лет</v>
      </c>
      <c r="E14" s="1" t="str" cm="1">
        <f t="array" ref="E14">Возраст_человека(E13)</f>
        <v xml:space="preserve"> 14 лет</v>
      </c>
      <c r="F14" s="1" t="str" cm="1">
        <f t="array" ref="F14">Возраст_человека(F13)</f>
        <v xml:space="preserve"> 15 лет</v>
      </c>
      <c r="G14" s="1" t="str" cm="1">
        <f t="array" ref="G14">Возраст_человека(G13)</f>
        <v xml:space="preserve"> 16 лет</v>
      </c>
      <c r="H14" s="1" t="str" cm="1">
        <f t="array" ref="H14">Возраст_человека(H13)</f>
        <v xml:space="preserve"> 17 лет</v>
      </c>
      <c r="I14" s="1" t="str" cm="1">
        <f t="array" ref="I14">Возраст_человека(I13)</f>
        <v xml:space="preserve"> 18 лет</v>
      </c>
      <c r="J14" s="1" t="str" cm="1">
        <f t="array" ref="J14">Возраст_человека(J13)</f>
        <v xml:space="preserve"> 19 лет</v>
      </c>
      <c r="K14" s="1" t="str" cm="1">
        <f t="array" ref="K14">Возраст_человека(K13)</f>
        <v xml:space="preserve"> 20 лет</v>
      </c>
      <c r="L14" s="1" t="str" cm="1">
        <f t="array" ref="L14">Возраст_человека(L13)</f>
        <v xml:space="preserve"> 21 год</v>
      </c>
      <c r="M14" s="1" t="str" cm="1">
        <f t="array" ref="M14">Возраст_человека(M13)</f>
        <v xml:space="preserve"> 22 года</v>
      </c>
    </row>
    <row r="16" spans="1:15" x14ac:dyDescent="0.25">
      <c r="A16" s="1" t="s">
        <v>9</v>
      </c>
      <c r="B16" s="4">
        <v>-0.5</v>
      </c>
      <c r="C16" s="4">
        <v>-0.25</v>
      </c>
      <c r="D16" s="3">
        <v>0</v>
      </c>
      <c r="E16" s="2">
        <v>0.25</v>
      </c>
      <c r="F16" s="2">
        <v>0.5</v>
      </c>
      <c r="G16" s="2">
        <v>0.75</v>
      </c>
      <c r="H16" s="2">
        <v>1</v>
      </c>
      <c r="I16" s="2">
        <v>1.25</v>
      </c>
    </row>
    <row r="18" spans="1:8" x14ac:dyDescent="0.25">
      <c r="A18" s="1" t="s">
        <v>10</v>
      </c>
      <c r="B18" s="1" t="s">
        <v>13</v>
      </c>
      <c r="C18" s="1" t="s">
        <v>14</v>
      </c>
      <c r="D18" s="1" t="s">
        <v>15</v>
      </c>
      <c r="E18" s="1" t="s">
        <v>15</v>
      </c>
      <c r="F18" s="1" t="s">
        <v>13</v>
      </c>
      <c r="G18" s="1" t="s">
        <v>15</v>
      </c>
      <c r="H18" s="1" t="s">
        <v>16</v>
      </c>
    </row>
    <row r="19" spans="1:8" x14ac:dyDescent="0.25">
      <c r="A19" s="1" t="s">
        <v>11</v>
      </c>
      <c r="B19" s="1">
        <v>50000</v>
      </c>
      <c r="C19" s="1">
        <v>60000</v>
      </c>
      <c r="D19" s="1">
        <v>30000</v>
      </c>
      <c r="E19" s="1">
        <v>50000</v>
      </c>
      <c r="F19" s="1">
        <v>40000</v>
      </c>
      <c r="G19" s="1">
        <v>20000</v>
      </c>
      <c r="H19" s="1">
        <v>60000</v>
      </c>
    </row>
    <row r="20" spans="1:8" x14ac:dyDescent="0.25">
      <c r="A20" s="1" t="s">
        <v>12</v>
      </c>
      <c r="B20" s="1" t="str" cm="1">
        <f t="array" ref="B20">Процент_менеджера(B18,B19)</f>
        <v>10000</v>
      </c>
      <c r="C20" s="1" t="str" cm="1">
        <f t="array" ref="C20">Процент_менеджера(C18,C19)</f>
        <v>18000</v>
      </c>
      <c r="D20" s="1" t="str" cm="1">
        <f t="array" ref="D20">Процент_менеджера(D18,D19)</f>
        <v>12000</v>
      </c>
      <c r="E20" s="1" t="str" cm="1">
        <f t="array" ref="E20">Процент_менеджера(E18,E19)</f>
        <v>20000</v>
      </c>
      <c r="F20" s="1" t="str" cm="1">
        <f t="array" ref="F20">Процент_менеджера(F18,F19)</f>
        <v>8000</v>
      </c>
      <c r="G20" s="1" t="str" cm="1">
        <f t="array" ref="G20">Процент_менеджера(G18,G19)</f>
        <v>8000</v>
      </c>
      <c r="H20" s="1" t="str" cm="1">
        <f t="array" ref="H20">Процент_менеджера(H18,H19)</f>
        <v>Ошибка в фамилии</v>
      </c>
    </row>
    <row r="23" spans="1:8" x14ac:dyDescent="0.25">
      <c r="A23" s="1" t="s">
        <v>17</v>
      </c>
      <c r="B23" s="1">
        <v>300000</v>
      </c>
      <c r="C23" s="1">
        <v>200000</v>
      </c>
      <c r="D23" s="1">
        <v>250000</v>
      </c>
      <c r="E23" s="1">
        <v>500000</v>
      </c>
      <c r="F23" s="1">
        <v>400000</v>
      </c>
      <c r="G23" s="1">
        <v>340000</v>
      </c>
    </row>
    <row r="24" spans="1:8" x14ac:dyDescent="0.25">
      <c r="A24" s="1" t="s">
        <v>18</v>
      </c>
      <c r="B24" s="1">
        <v>150000</v>
      </c>
      <c r="C24" s="1">
        <v>80000</v>
      </c>
      <c r="D24" s="1">
        <v>150000</v>
      </c>
      <c r="E24" s="1">
        <v>300000</v>
      </c>
      <c r="F24" s="1">
        <v>300000</v>
      </c>
      <c r="G24" s="1">
        <v>120000</v>
      </c>
    </row>
    <row r="25" spans="1:8" ht="47.25" customHeight="1" x14ac:dyDescent="0.25">
      <c r="A25" s="5" t="s">
        <v>19</v>
      </c>
      <c r="B25" s="6">
        <v>5</v>
      </c>
      <c r="C25" s="6">
        <v>3</v>
      </c>
      <c r="D25" s="6">
        <v>10</v>
      </c>
      <c r="E25" s="6">
        <v>16</v>
      </c>
      <c r="F25" s="6">
        <v>6</v>
      </c>
      <c r="G25" s="6">
        <v>12</v>
      </c>
    </row>
    <row r="26" spans="1:8" ht="30" x14ac:dyDescent="0.25">
      <c r="A26" s="5" t="s">
        <v>20</v>
      </c>
      <c r="B26" s="6" cm="1">
        <f t="array" ref="B26">Текущий_взнос(B23,B24,B25)</f>
        <v>30450</v>
      </c>
      <c r="C26" s="6" cm="1">
        <f t="array" ref="C26">Текущий_взнос(C23,C24,C25)</f>
        <v>40600</v>
      </c>
      <c r="D26" s="6" cm="1">
        <f t="array" ref="D26">Текущий_взнос(D23,D24,D25)</f>
        <v>10200</v>
      </c>
      <c r="E26" s="6" cm="1">
        <f t="array" ref="E26">Текущий_взнос(E23,E24,E25)</f>
        <v>12500</v>
      </c>
      <c r="F26" s="6" cm="1">
        <f t="array" ref="F26">Текущий_взнос(F23,F24,F25)</f>
        <v>17000</v>
      </c>
      <c r="G26" s="6" cm="1">
        <f t="array" ref="G26">Текущий_взнос(G23,G24,G25)</f>
        <v>18883.333333333332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</dc:creator>
  <cp:lastModifiedBy>Ренат</cp:lastModifiedBy>
  <dcterms:created xsi:type="dcterms:W3CDTF">2023-11-26T13:16:36Z</dcterms:created>
  <dcterms:modified xsi:type="dcterms:W3CDTF">2023-11-26T14:45:18Z</dcterms:modified>
</cp:coreProperties>
</file>