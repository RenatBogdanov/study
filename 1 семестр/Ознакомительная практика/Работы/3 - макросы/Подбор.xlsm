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Ренат\Desktop\1 семестр\Ознакомительная практика\Работы\3 - макросы\"/>
    </mc:Choice>
  </mc:AlternateContent>
  <xr:revisionPtr revIDLastSave="0" documentId="13_ncr:1_{47E4C584-45CF-4C78-9BB1-6B3032B11E84}" xr6:coauthVersionLast="47" xr6:coauthVersionMax="47" xr10:uidLastSave="{00000000-0000-0000-0000-000000000000}"/>
  <bookViews>
    <workbookView xWindow="7020" yWindow="975" windowWidth="21600" windowHeight="11295" activeTab="4" xr2:uid="{2C8866B5-95FA-45C8-B2A1-3DDF321E6AED}"/>
  </bookViews>
  <sheets>
    <sheet name="Лист1" sheetId="1" r:id="rId1"/>
    <sheet name="Копия Шаблона" sheetId="4" r:id="rId2"/>
    <sheet name="Расходы" sheetId="5" r:id="rId3"/>
    <sheet name="Лист2" sheetId="6" r:id="rId4"/>
    <sheet name="Отдых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7" l="1"/>
  <c r="B15" i="7"/>
  <c r="B6" i="7"/>
  <c r="D7" i="6"/>
  <c r="C7" i="6"/>
  <c r="D2" i="6" a="1"/>
  <c r="D6" i="6" s="1"/>
  <c r="D2" i="6"/>
  <c r="D3" i="6"/>
  <c r="D4" i="6"/>
  <c r="D5" i="6"/>
  <c r="C2" i="6" a="1"/>
  <c r="C2" i="6" s="1"/>
  <c r="B7" i="6"/>
  <c r="D8" i="5"/>
  <c r="D4" i="5"/>
  <c r="D5" i="5"/>
  <c r="D6" i="5"/>
  <c r="D7" i="5"/>
  <c r="D3" i="5"/>
  <c r="C8" i="5"/>
  <c r="B7" i="4"/>
  <c r="B7" i="1"/>
  <c r="C6" i="6" l="1"/>
  <c r="C5" i="6"/>
  <c r="C4" i="6"/>
  <c r="C3" i="6"/>
</calcChain>
</file>

<file path=xl/sharedStrings.xml><?xml version="1.0" encoding="utf-8"?>
<sst xmlns="http://schemas.openxmlformats.org/spreadsheetml/2006/main" count="62" uniqueCount="33">
  <si>
    <t>Расходы</t>
  </si>
  <si>
    <t>Телефон</t>
  </si>
  <si>
    <t>Аренда</t>
  </si>
  <si>
    <t>Амортизация</t>
  </si>
  <si>
    <t>Страховка</t>
  </si>
  <si>
    <t>Заработная плата</t>
  </si>
  <si>
    <t>Итого</t>
  </si>
  <si>
    <t>Расходы Январь</t>
  </si>
  <si>
    <t>Ожидаемые расходы Февраль</t>
  </si>
  <si>
    <t>Варианты инфляции</t>
  </si>
  <si>
    <t>Худший</t>
  </si>
  <si>
    <t>Ожидаемый</t>
  </si>
  <si>
    <t>Лучший</t>
  </si>
  <si>
    <t>Товар</t>
  </si>
  <si>
    <t>Цена в у.е.</t>
  </si>
  <si>
    <t>Цена в рублях (1 у.е.=1 $)</t>
  </si>
  <si>
    <t>Цена в рублях (1 у.е.=1 €)</t>
  </si>
  <si>
    <t>Товар 1</t>
  </si>
  <si>
    <t>Товар 2</t>
  </si>
  <si>
    <t>Товар 3</t>
  </si>
  <si>
    <t>Товар 4</t>
  </si>
  <si>
    <t>Товар 5</t>
  </si>
  <si>
    <t>Курс $</t>
  </si>
  <si>
    <t>Курс €</t>
  </si>
  <si>
    <t>лучший</t>
  </si>
  <si>
    <t>ожидаемый</t>
  </si>
  <si>
    <t>худший</t>
  </si>
  <si>
    <t>Виды расходов</t>
  </si>
  <si>
    <t>Сумма</t>
  </si>
  <si>
    <t>Проживание</t>
  </si>
  <si>
    <t>Обслуживание</t>
  </si>
  <si>
    <t>Питание</t>
  </si>
  <si>
    <t>Перелет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</si>
</sst>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$-409]#,##0.00"/>
    <numFmt numFmtId="165" formatCode="0.0"/>
    <numFmt numFmtId="166" formatCode="#,##0.00\ &quot;₽&quot;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top" wrapText="1"/>
    </xf>
    <xf numFmtId="0" fontId="0" fillId="0" borderId="1" xfId="0" applyBorder="1"/>
    <xf numFmtId="0" fontId="0" fillId="0" borderId="1" xfId="0" applyBorder="1" applyAlignment="1">
      <alignment vertical="top" wrapText="1"/>
    </xf>
    <xf numFmtId="164" fontId="0" fillId="0" borderId="1" xfId="0" applyNumberFormat="1" applyBorder="1"/>
    <xf numFmtId="164" fontId="0" fillId="0" borderId="0" xfId="0" applyNumberFormat="1"/>
    <xf numFmtId="9" fontId="0" fillId="0" borderId="1" xfId="0" applyNumberFormat="1" applyBorder="1"/>
    <xf numFmtId="10" fontId="0" fillId="0" borderId="1" xfId="0" applyNumberFormat="1" applyBorder="1"/>
    <xf numFmtId="0" fontId="0" fillId="0" borderId="1" xfId="0" applyBorder="1" applyAlignment="1">
      <alignment vertical="top"/>
    </xf>
    <xf numFmtId="165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6" fontId="0" fillId="0" borderId="1" xfId="0" applyNumberFormat="1" applyBorder="1"/>
    <xf numFmtId="0" fontId="0" fillId="0" borderId="0" xfId="0" applyBorder="1"/>
    <xf numFmtId="0" fontId="0" fillId="0" borderId="1" xfId="0" applyFill="1" applyBorder="1"/>
    <xf numFmtId="0" fontId="0" fillId="0" borderId="1" xfId="0" applyFill="1" applyBorder="1" applyAlignment="1">
      <alignment vertical="top" wrapText="1"/>
    </xf>
    <xf numFmtId="164" fontId="0" fillId="0" borderId="1" xfId="0" applyNumberFormat="1" applyBorder="1" applyAlignment="1">
      <alignment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133350</xdr:rowOff>
        </xdr:from>
        <xdr:to>
          <xdr:col>4</xdr:col>
          <xdr:colOff>438150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Худший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10</xdr:row>
          <xdr:rowOff>180975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Ожидаемый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12</xdr:row>
          <xdr:rowOff>180975</xdr:rowOff>
        </xdr:from>
        <xdr:to>
          <xdr:col>5</xdr:col>
          <xdr:colOff>809625</xdr:colOff>
          <xdr:row>14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Лучший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0</xdr:colOff>
          <xdr:row>2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Лучший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4</xdr:row>
          <xdr:rowOff>0</xdr:rowOff>
        </xdr:from>
        <xdr:to>
          <xdr:col>6</xdr:col>
          <xdr:colOff>600075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Ожидаемый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600075</xdr:colOff>
          <xdr:row>8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Худший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5</xdr:col>
          <xdr:colOff>590550</xdr:colOff>
          <xdr:row>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Пустая таблица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Май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590550</xdr:colOff>
          <xdr:row>9</xdr:row>
          <xdr:rowOff>161925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Июнь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11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Июль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58DDE-05EB-433A-90EB-8FEE75E97A70}">
  <sheetPr codeName="Лист1"/>
  <dimension ref="A1:B8"/>
  <sheetViews>
    <sheetView workbookViewId="0">
      <selection sqref="A1:B8"/>
    </sheetView>
  </sheetViews>
  <sheetFormatPr defaultRowHeight="15" x14ac:dyDescent="0.25"/>
  <cols>
    <col min="1" max="1" width="17.28515625" bestFit="1" customWidth="1"/>
    <col min="2" max="2" width="8.7109375" bestFit="1" customWidth="1"/>
    <col min="3" max="3" width="9.85546875" bestFit="1" customWidth="1"/>
    <col min="4" max="4" width="12" bestFit="1" customWidth="1"/>
    <col min="5" max="5" width="7" bestFit="1" customWidth="1"/>
    <col min="6" max="6" width="8" bestFit="1" customWidth="1"/>
  </cols>
  <sheetData>
    <row r="1" spans="1:2" x14ac:dyDescent="0.25">
      <c r="A1" s="2"/>
      <c r="B1" s="2" t="s">
        <v>0</v>
      </c>
    </row>
    <row r="2" spans="1:2" x14ac:dyDescent="0.25">
      <c r="A2" s="2" t="s">
        <v>1</v>
      </c>
      <c r="B2" s="2">
        <v>2</v>
      </c>
    </row>
    <row r="3" spans="1:2" x14ac:dyDescent="0.25">
      <c r="A3" s="2" t="s">
        <v>2</v>
      </c>
      <c r="B3" s="2">
        <v>3</v>
      </c>
    </row>
    <row r="4" spans="1:2" x14ac:dyDescent="0.25">
      <c r="A4" s="2" t="s">
        <v>3</v>
      </c>
      <c r="B4" s="2">
        <v>4</v>
      </c>
    </row>
    <row r="5" spans="1:2" x14ac:dyDescent="0.25">
      <c r="A5" s="2" t="s">
        <v>4</v>
      </c>
      <c r="B5" s="2">
        <v>5</v>
      </c>
    </row>
    <row r="6" spans="1:2" x14ac:dyDescent="0.25">
      <c r="A6" s="2" t="s">
        <v>5</v>
      </c>
      <c r="B6" s="2">
        <v>6</v>
      </c>
    </row>
    <row r="7" spans="1:2" x14ac:dyDescent="0.25">
      <c r="A7" s="2" t="s">
        <v>6</v>
      </c>
      <c r="B7" s="2">
        <f>SUM(B2:B6)</f>
        <v>20</v>
      </c>
    </row>
    <row r="8" spans="1:2" x14ac:dyDescent="0.25">
      <c r="A8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дбор">
                <anchor moveWithCells="1" sizeWithCells="1">
                  <from>
                    <xdr:col>2</xdr:col>
                    <xdr:colOff>66675</xdr:colOff>
                    <xdr:row>0</xdr:row>
                    <xdr:rowOff>133350</xdr:rowOff>
                  </from>
                  <to>
                    <xdr:col>4</xdr:col>
                    <xdr:colOff>438150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0CB96-1E35-486A-BE6E-BAA7A2B9AE92}">
  <sheetPr codeName="Лист4"/>
  <dimension ref="A1:B7"/>
  <sheetViews>
    <sheetView workbookViewId="0">
      <selection activeCell="E6" sqref="E6"/>
    </sheetView>
  </sheetViews>
  <sheetFormatPr defaultRowHeight="15" x14ac:dyDescent="0.25"/>
  <cols>
    <col min="1" max="1" width="17.28515625" bestFit="1" customWidth="1"/>
  </cols>
  <sheetData>
    <row r="1" spans="1:2" x14ac:dyDescent="0.25">
      <c r="A1" s="2"/>
      <c r="B1" s="2" t="s">
        <v>0</v>
      </c>
    </row>
    <row r="2" spans="1:2" x14ac:dyDescent="0.25">
      <c r="A2" s="2" t="s">
        <v>1</v>
      </c>
      <c r="B2" s="2">
        <v>2</v>
      </c>
    </row>
    <row r="3" spans="1:2" x14ac:dyDescent="0.25">
      <c r="A3" s="2" t="s">
        <v>2</v>
      </c>
      <c r="B3" s="2">
        <v>3</v>
      </c>
    </row>
    <row r="4" spans="1:2" x14ac:dyDescent="0.25">
      <c r="A4" s="2" t="s">
        <v>3</v>
      </c>
      <c r="B4" s="2">
        <v>4</v>
      </c>
    </row>
    <row r="5" spans="1:2" x14ac:dyDescent="0.25">
      <c r="A5" s="2" t="s">
        <v>4</v>
      </c>
      <c r="B5" s="2">
        <v>5</v>
      </c>
    </row>
    <row r="6" spans="1:2" x14ac:dyDescent="0.25">
      <c r="A6" s="2" t="s">
        <v>5</v>
      </c>
      <c r="B6" s="2">
        <v>6</v>
      </c>
    </row>
    <row r="7" spans="1:2" x14ac:dyDescent="0.25">
      <c r="A7" s="2" t="s">
        <v>6</v>
      </c>
      <c r="B7" s="2">
        <f>SUM(B2:B6)</f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0EEA0-ECC4-4EF8-A2A8-BE17044B8A9B}">
  <sheetPr codeName="Лист2"/>
  <dimension ref="B2:G9"/>
  <sheetViews>
    <sheetView workbookViewId="0">
      <selection activeCell="D9" sqref="D9"/>
    </sheetView>
  </sheetViews>
  <sheetFormatPr defaultRowHeight="15" x14ac:dyDescent="0.25"/>
  <cols>
    <col min="1" max="1" width="6.85546875" customWidth="1"/>
    <col min="2" max="2" width="17.28515625" bestFit="1" customWidth="1"/>
    <col min="3" max="3" width="11" bestFit="1" customWidth="1"/>
    <col min="4" max="4" width="12.42578125" customWidth="1"/>
    <col min="5" max="6" width="12.28515625" bestFit="1" customWidth="1"/>
  </cols>
  <sheetData>
    <row r="2" spans="2:7" ht="45" x14ac:dyDescent="0.25">
      <c r="B2" s="2"/>
      <c r="C2" s="3" t="s">
        <v>7</v>
      </c>
      <c r="D2" s="3" t="s">
        <v>8</v>
      </c>
    </row>
    <row r="3" spans="2:7" x14ac:dyDescent="0.25">
      <c r="B3" s="2" t="s">
        <v>1</v>
      </c>
      <c r="C3" s="4">
        <v>1876</v>
      </c>
      <c r="D3" s="4">
        <f>C3*(1+$G$5)</f>
        <v>1904.1399999999999</v>
      </c>
      <c r="F3" s="10" t="s">
        <v>9</v>
      </c>
      <c r="G3" s="11"/>
    </row>
    <row r="4" spans="2:7" x14ac:dyDescent="0.25">
      <c r="B4" s="2" t="s">
        <v>2</v>
      </c>
      <c r="C4" s="4">
        <v>12834</v>
      </c>
      <c r="D4" s="4">
        <f t="shared" ref="D4:D7" si="0">C4*(1+$G$5)</f>
        <v>13026.509999999998</v>
      </c>
      <c r="F4" s="2" t="s">
        <v>10</v>
      </c>
      <c r="G4" s="6">
        <v>0.03</v>
      </c>
    </row>
    <row r="5" spans="2:7" x14ac:dyDescent="0.25">
      <c r="B5" s="2" t="s">
        <v>3</v>
      </c>
      <c r="C5" s="4">
        <v>4182</v>
      </c>
      <c r="D5" s="4">
        <f t="shared" si="0"/>
        <v>4244.7299999999996</v>
      </c>
      <c r="F5" s="2" t="s">
        <v>11</v>
      </c>
      <c r="G5" s="7">
        <v>1.4999999999999999E-2</v>
      </c>
    </row>
    <row r="6" spans="2:7" x14ac:dyDescent="0.25">
      <c r="B6" s="2" t="s">
        <v>4</v>
      </c>
      <c r="C6" s="4">
        <v>3226</v>
      </c>
      <c r="D6" s="4">
        <f t="shared" si="0"/>
        <v>3274.39</v>
      </c>
      <c r="F6" s="2" t="s">
        <v>12</v>
      </c>
      <c r="G6" s="6">
        <v>0.01</v>
      </c>
    </row>
    <row r="7" spans="2:7" x14ac:dyDescent="0.25">
      <c r="B7" s="2" t="s">
        <v>5</v>
      </c>
      <c r="C7" s="4">
        <v>84626</v>
      </c>
      <c r="D7" s="4">
        <f t="shared" si="0"/>
        <v>85895.389999999985</v>
      </c>
    </row>
    <row r="8" spans="2:7" x14ac:dyDescent="0.25">
      <c r="B8" s="2" t="s">
        <v>6</v>
      </c>
      <c r="C8" s="4">
        <f>SUM(C3:C7)</f>
        <v>106744</v>
      </c>
      <c r="D8" s="4">
        <f>SUM(D3:D7)</f>
        <v>108345.15999999997</v>
      </c>
    </row>
    <row r="9" spans="2:7" x14ac:dyDescent="0.25">
      <c r="D9" s="5"/>
    </row>
  </sheetData>
  <mergeCells count="1">
    <mergeCell ref="F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РасходыХудший">
                <anchor moveWithCells="1" sizeWithCells="1">
                  <from>
                    <xdr:col>4</xdr:col>
                    <xdr:colOff>800100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РасходыОжидаемый">
                <anchor moveWithCells="1" sizeWithCells="1">
                  <from>
                    <xdr:col>4</xdr:col>
                    <xdr:colOff>809625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РасходыЛучший">
                <anchor moveWithCells="1" sizeWithCells="1">
                  <from>
                    <xdr:col>4</xdr:col>
                    <xdr:colOff>809625</xdr:colOff>
                    <xdr:row>12</xdr:row>
                    <xdr:rowOff>180975</xdr:rowOff>
                  </from>
                  <to>
                    <xdr:col>5</xdr:col>
                    <xdr:colOff>809625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ACBE1-6E12-429E-B4C1-C558134E7B6F}">
  <sheetPr codeName="Лист3"/>
  <dimension ref="A1:D12"/>
  <sheetViews>
    <sheetView workbookViewId="0">
      <selection activeCell="H6" sqref="H6"/>
    </sheetView>
  </sheetViews>
  <sheetFormatPr defaultRowHeight="15" x14ac:dyDescent="0.25"/>
  <cols>
    <col min="2" max="2" width="12" bestFit="1" customWidth="1"/>
    <col min="3" max="3" width="14" customWidth="1"/>
    <col min="4" max="4" width="14.85546875" customWidth="1"/>
  </cols>
  <sheetData>
    <row r="1" spans="1:4" ht="36" customHeight="1" x14ac:dyDescent="0.25">
      <c r="A1" s="8" t="s">
        <v>13</v>
      </c>
      <c r="B1" s="8" t="s">
        <v>14</v>
      </c>
      <c r="C1" s="3" t="s">
        <v>15</v>
      </c>
      <c r="D1" s="3" t="s">
        <v>16</v>
      </c>
    </row>
    <row r="2" spans="1:4" x14ac:dyDescent="0.25">
      <c r="A2" s="2" t="s">
        <v>17</v>
      </c>
      <c r="B2" s="2">
        <v>5641</v>
      </c>
      <c r="C2" s="12">
        <f t="array" ref="C2:C6">B2:B6*C12</f>
        <v>174306.9</v>
      </c>
      <c r="D2" s="12">
        <f t="array" ref="D2:D6">B2:B6*D12</f>
        <v>188973.5</v>
      </c>
    </row>
    <row r="3" spans="1:4" x14ac:dyDescent="0.25">
      <c r="A3" s="2" t="s">
        <v>18</v>
      </c>
      <c r="B3" s="2">
        <v>2314</v>
      </c>
      <c r="C3" s="12">
        <v>71502.599999999991</v>
      </c>
      <c r="D3" s="12">
        <v>77519</v>
      </c>
    </row>
    <row r="4" spans="1:4" x14ac:dyDescent="0.25">
      <c r="A4" s="2" t="s">
        <v>19</v>
      </c>
      <c r="B4" s="2">
        <v>7821</v>
      </c>
      <c r="C4" s="12">
        <v>241668.9</v>
      </c>
      <c r="D4" s="12">
        <v>262003.5</v>
      </c>
    </row>
    <row r="5" spans="1:4" x14ac:dyDescent="0.25">
      <c r="A5" s="2" t="s">
        <v>20</v>
      </c>
      <c r="B5" s="2">
        <v>9512</v>
      </c>
      <c r="C5" s="12">
        <v>293920.8</v>
      </c>
      <c r="D5" s="12">
        <v>318652</v>
      </c>
    </row>
    <row r="6" spans="1:4" x14ac:dyDescent="0.25">
      <c r="A6" s="2" t="s">
        <v>21</v>
      </c>
      <c r="B6" s="2">
        <v>4564</v>
      </c>
      <c r="C6" s="12">
        <v>141027.6</v>
      </c>
      <c r="D6" s="12">
        <v>152894</v>
      </c>
    </row>
    <row r="7" spans="1:4" x14ac:dyDescent="0.25">
      <c r="A7" s="2" t="s">
        <v>6</v>
      </c>
      <c r="B7" s="2">
        <f>SUM(B2:B6)</f>
        <v>29852</v>
      </c>
      <c r="C7" s="12">
        <f>SUM(C2:C6)</f>
        <v>922426.79999999993</v>
      </c>
      <c r="D7" s="12">
        <f>SUM(D2:D6)</f>
        <v>1000042</v>
      </c>
    </row>
    <row r="9" spans="1:4" x14ac:dyDescent="0.25">
      <c r="B9" s="2"/>
      <c r="C9" s="2" t="s">
        <v>22</v>
      </c>
      <c r="D9" s="2" t="s">
        <v>23</v>
      </c>
    </row>
    <row r="10" spans="1:4" x14ac:dyDescent="0.25">
      <c r="B10" s="2" t="s">
        <v>24</v>
      </c>
      <c r="C10" s="2">
        <v>32.9</v>
      </c>
      <c r="D10" s="2">
        <v>35.1</v>
      </c>
    </row>
    <row r="11" spans="1:4" x14ac:dyDescent="0.25">
      <c r="B11" s="2" t="s">
        <v>25</v>
      </c>
      <c r="C11" s="2">
        <v>31.9</v>
      </c>
      <c r="D11" s="2">
        <v>34.4</v>
      </c>
    </row>
    <row r="12" spans="1:4" x14ac:dyDescent="0.25">
      <c r="B12" s="2" t="s">
        <v>26</v>
      </c>
      <c r="C12" s="9">
        <v>30.9</v>
      </c>
      <c r="D12" s="2">
        <v>33.5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ОжидаемыеВыручкиЛучший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ОжидаемыеВыручкиОжидаемый">
                <anchor moveWithCells="1" sizeWithCells="1">
                  <from>
                    <xdr:col>4</xdr:col>
                    <xdr:colOff>600075</xdr:colOff>
                    <xdr:row>4</xdr:row>
                    <xdr:rowOff>0</xdr:rowOff>
                  </from>
                  <to>
                    <xdr:col>6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ОжидаемыеВыручкиХудший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3E0D-B1DC-43A5-9873-F3CF707DD029}">
  <sheetPr codeName="Лист5"/>
  <dimension ref="A1:E24"/>
  <sheetViews>
    <sheetView tabSelected="1" workbookViewId="0">
      <selection activeCell="B24" sqref="B24"/>
    </sheetView>
  </sheetViews>
  <sheetFormatPr defaultRowHeight="15" x14ac:dyDescent="0.25"/>
  <cols>
    <col min="1" max="4" width="14.85546875" bestFit="1" customWidth="1"/>
  </cols>
  <sheetData>
    <row r="1" spans="1:5" ht="33.75" customHeight="1" x14ac:dyDescent="0.25">
      <c r="A1" s="3" t="s">
        <v>27</v>
      </c>
      <c r="B1" s="3" t="s">
        <v>28</v>
      </c>
    </row>
    <row r="2" spans="1:5" x14ac:dyDescent="0.25">
      <c r="A2" s="2" t="s">
        <v>29</v>
      </c>
      <c r="B2" s="2">
        <v>300</v>
      </c>
    </row>
    <row r="3" spans="1:5" x14ac:dyDescent="0.25">
      <c r="A3" s="2" t="s">
        <v>30</v>
      </c>
      <c r="B3" s="2">
        <v>100</v>
      </c>
    </row>
    <row r="4" spans="1:5" x14ac:dyDescent="0.25">
      <c r="A4" s="3" t="s">
        <v>31</v>
      </c>
      <c r="B4" s="3">
        <v>200</v>
      </c>
      <c r="C4" s="1"/>
      <c r="D4" s="1"/>
    </row>
    <row r="5" spans="1:5" x14ac:dyDescent="0.25">
      <c r="A5" s="15" t="s">
        <v>32</v>
      </c>
      <c r="B5" s="3">
        <v>500</v>
      </c>
      <c r="C5" s="1"/>
    </row>
    <row r="6" spans="1:5" x14ac:dyDescent="0.25">
      <c r="A6" s="14" t="s">
        <v>6</v>
      </c>
      <c r="B6" s="16">
        <f>SUM(B2:B5)</f>
        <v>1100</v>
      </c>
      <c r="C6" s="1"/>
      <c r="E6">
        <v>300</v>
      </c>
    </row>
    <row r="7" spans="1:5" x14ac:dyDescent="0.25">
      <c r="B7" s="1"/>
      <c r="C7" s="1"/>
      <c r="E7">
        <v>100</v>
      </c>
    </row>
    <row r="9" spans="1:5" x14ac:dyDescent="0.25">
      <c r="A9" s="13"/>
      <c r="E9">
        <v>500</v>
      </c>
    </row>
    <row r="10" spans="1:5" x14ac:dyDescent="0.25">
      <c r="A10" s="2" t="s">
        <v>27</v>
      </c>
      <c r="B10" s="2" t="s">
        <v>28</v>
      </c>
      <c r="E10">
        <v>300</v>
      </c>
    </row>
    <row r="11" spans="1:5" x14ac:dyDescent="0.25">
      <c r="A11" s="2" t="s">
        <v>29</v>
      </c>
      <c r="B11" s="2">
        <v>400</v>
      </c>
    </row>
    <row r="12" spans="1:5" x14ac:dyDescent="0.25">
      <c r="A12" s="3" t="s">
        <v>30</v>
      </c>
      <c r="B12" s="3">
        <v>150</v>
      </c>
      <c r="E12">
        <v>200</v>
      </c>
    </row>
    <row r="13" spans="1:5" x14ac:dyDescent="0.25">
      <c r="A13" s="2" t="s">
        <v>31</v>
      </c>
      <c r="B13" s="2">
        <v>300</v>
      </c>
      <c r="E13">
        <v>500</v>
      </c>
    </row>
    <row r="14" spans="1:5" x14ac:dyDescent="0.25">
      <c r="A14" s="15" t="s">
        <v>32</v>
      </c>
      <c r="B14" s="3">
        <v>500</v>
      </c>
    </row>
    <row r="15" spans="1:5" x14ac:dyDescent="0.25">
      <c r="A15" s="14" t="s">
        <v>6</v>
      </c>
      <c r="B15" s="4">
        <f>SUM(B11:B14)</f>
        <v>1350</v>
      </c>
    </row>
    <row r="16" spans="1:5" x14ac:dyDescent="0.25">
      <c r="A16" s="13"/>
    </row>
    <row r="19" spans="1:2" x14ac:dyDescent="0.25">
      <c r="A19" s="2" t="s">
        <v>27</v>
      </c>
      <c r="B19" s="2" t="s">
        <v>28</v>
      </c>
    </row>
    <row r="20" spans="1:2" x14ac:dyDescent="0.25">
      <c r="A20" s="2" t="s">
        <v>29</v>
      </c>
      <c r="B20" s="2">
        <v>500</v>
      </c>
    </row>
    <row r="21" spans="1:2" x14ac:dyDescent="0.25">
      <c r="A21" s="2" t="s">
        <v>30</v>
      </c>
      <c r="B21" s="2">
        <v>200</v>
      </c>
    </row>
    <row r="22" spans="1:2" x14ac:dyDescent="0.25">
      <c r="A22" s="2" t="s">
        <v>31</v>
      </c>
      <c r="B22" s="2">
        <v>350</v>
      </c>
    </row>
    <row r="23" spans="1:2" x14ac:dyDescent="0.25">
      <c r="A23" s="2" t="s">
        <v>32</v>
      </c>
      <c r="B23" s="2">
        <v>500</v>
      </c>
    </row>
    <row r="24" spans="1:2" x14ac:dyDescent="0.25">
      <c r="A24" s="14" t="s">
        <v>6</v>
      </c>
      <c r="B24" s="4">
        <f>SUM(B20:B23)</f>
        <v>1550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Отдых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5</xdr:col>
                    <xdr:colOff>590550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Май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Июнь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590550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Июль">
                <anchor moveWithCells="1" sizeWithCells="1">
                  <from>
                    <xdr:col>3</xdr:col>
                    <xdr:colOff>981075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Копия Шаблона</vt:lpstr>
      <vt:lpstr>Расходы</vt:lpstr>
      <vt:lpstr>Лист2</vt:lpstr>
      <vt:lpstr>Отдых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</dc:creator>
  <cp:lastModifiedBy>Ренат</cp:lastModifiedBy>
  <dcterms:created xsi:type="dcterms:W3CDTF">2023-11-11T15:33:44Z</dcterms:created>
  <dcterms:modified xsi:type="dcterms:W3CDTF">2023-11-12T17:08:25Z</dcterms:modified>
</cp:coreProperties>
</file>